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Work\notWork\PyloBot\docs\"/>
    </mc:Choice>
  </mc:AlternateContent>
  <xr:revisionPtr revIDLastSave="0" documentId="13_ncr:1_{2D6F4431-5F33-4DF0-991F-B3AFD97427B0}" xr6:coauthVersionLast="47" xr6:coauthVersionMax="47" xr10:uidLastSave="{00000000-0000-0000-0000-000000000000}"/>
  <bookViews>
    <workbookView xWindow="28680" yWindow="-120" windowWidth="38640" windowHeight="21120" tabRatio="500" xr2:uid="{00000000-000D-0000-FFFF-FFFF00000000}"/>
  </bookViews>
  <sheets>
    <sheet name="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" i="1" l="1"/>
  <c r="F40" i="1"/>
  <c r="I39" i="1"/>
  <c r="F39" i="1"/>
  <c r="F38" i="1"/>
  <c r="I38" i="1" s="1"/>
  <c r="I37" i="1"/>
  <c r="F37" i="1"/>
  <c r="F36" i="1"/>
  <c r="I36" i="1" s="1"/>
  <c r="F35" i="1"/>
  <c r="I35" i="1" s="1"/>
  <c r="F34" i="1"/>
  <c r="I34" i="1" s="1"/>
  <c r="F33" i="1"/>
  <c r="I33" i="1" s="1"/>
  <c r="F32" i="1"/>
  <c r="I32" i="1" s="1"/>
  <c r="I31" i="1"/>
  <c r="F31" i="1"/>
  <c r="F30" i="1"/>
  <c r="I30" i="1" s="1"/>
  <c r="I29" i="1"/>
  <c r="F29" i="1"/>
  <c r="F28" i="1"/>
  <c r="I28" i="1" s="1"/>
  <c r="I27" i="1"/>
  <c r="F27" i="1"/>
  <c r="F26" i="1"/>
  <c r="I26" i="1" s="1"/>
  <c r="F25" i="1"/>
  <c r="I25" i="1" s="1"/>
  <c r="F24" i="1"/>
  <c r="I24" i="1" s="1"/>
  <c r="I23" i="1"/>
  <c r="F23" i="1"/>
  <c r="F22" i="1"/>
  <c r="I22" i="1" s="1"/>
  <c r="I21" i="1"/>
  <c r="F21" i="1"/>
  <c r="F20" i="1"/>
  <c r="I20" i="1" s="1"/>
  <c r="F19" i="1"/>
  <c r="I19" i="1" s="1"/>
  <c r="F18" i="1"/>
  <c r="I18" i="1" s="1"/>
  <c r="F17" i="1"/>
  <c r="I17" i="1" s="1"/>
  <c r="F16" i="1"/>
  <c r="I16" i="1" s="1"/>
  <c r="I15" i="1"/>
  <c r="F15" i="1"/>
  <c r="F14" i="1"/>
  <c r="I14" i="1" s="1"/>
  <c r="I13" i="1"/>
  <c r="F13" i="1"/>
  <c r="F12" i="1"/>
  <c r="I12" i="1" s="1"/>
  <c r="F11" i="1"/>
  <c r="I11" i="1" s="1"/>
  <c r="F10" i="1"/>
  <c r="I10" i="1" s="1"/>
  <c r="F9" i="1"/>
  <c r="I9" i="1" s="1"/>
  <c r="I8" i="1"/>
  <c r="F8" i="1"/>
  <c r="F42" i="1" s="1"/>
  <c r="I7" i="1"/>
  <c r="F7" i="1"/>
  <c r="F6" i="1"/>
  <c r="I6" i="1" s="1"/>
  <c r="I5" i="1"/>
  <c r="F5" i="1"/>
  <c r="F4" i="1"/>
  <c r="I4" i="1" s="1"/>
  <c r="I3" i="1"/>
  <c r="F3" i="1"/>
  <c r="I2" i="1"/>
  <c r="F2" i="1"/>
  <c r="F43" i="1" l="1"/>
  <c r="F44" i="1" s="1"/>
</calcChain>
</file>

<file path=xl/sharedStrings.xml><?xml version="1.0" encoding="utf-8"?>
<sst xmlns="http://schemas.openxmlformats.org/spreadsheetml/2006/main" count="135" uniqueCount="95">
  <si>
    <t>№</t>
  </si>
  <si>
    <t>Компонент</t>
  </si>
  <si>
    <t>Модель / артикул</t>
  </si>
  <si>
    <t>К-сть</t>
  </si>
  <si>
    <t>Ціна за од. (грн)</t>
  </si>
  <si>
    <t>Сума (грн)</t>
  </si>
  <si>
    <t>Посилання</t>
  </si>
  <si>
    <t>Статус</t>
  </si>
  <si>
    <t>Власні витрати (грн)</t>
  </si>
  <si>
    <t>Примітки</t>
  </si>
  <si>
    <t>Одноплатний комп'ютер («мозок»: ROS 2 + SLAM)</t>
  </si>
  <si>
    <t>Raspberry Pi 4 Model B, 4 ГБ (SKU SC0194)</t>
  </si>
  <si>
    <t>https://minicomp.com.ua/ua/raspberry-pi/raspberry-pi-4/raspberry-pi-4-model-b-4gb</t>
  </si>
  <si>
    <t>Вже є</t>
  </si>
  <si>
    <t>Дісталась безкоштовно (вже була в наявності). У клітинці ціни — актуальна ринкова вартість, щоб повний бюджет проєкту був коректним. Діапазон роздрібних цін в Україні на 2026-10-08: 6 780–7 458 грн (залежить від магазину й наявності). Рішення: ADR-002.</t>
  </si>
  <si>
    <t>MCU нижнього рівня (реальний час: PID коліс, енкодери, ШІМ, АЦП)</t>
  </si>
  <si>
    <t>STM32F401CCU6 (Blackpill)</t>
  </si>
  <si>
    <t>ADR-001. Є в наявності. Запасний варіант — ESP32 devkit (теж є).</t>
  </si>
  <si>
    <t>2D-лідар (SLAM)</t>
  </si>
  <si>
    <t>Slamtec RPLIDAR C1 (C1M1)</t>
  </si>
  <si>
    <t>ADR-002. Обрано: DTOF, 12 м (6 м на чорному), мін. 0,05 м, 10 Гц, 5 В / 230 мА (стартовий пік 800 мА), 3,3 В UART 460800, IP54, висота 4 см. Ціна MiniComp, в наявності, станом на 2026-10-26.</t>
  </si>
  <si>
    <t>Мотор-редуктор коліс з Hall-енкодером</t>
  </si>
  <si>
    <t>Обрати модель</t>
  </si>
  <si>
    <t>ADR-003, ADR-005. Магнітний Hall quadrature (A/B) на валу двигуна, по одному на колесо. Напруга — за пакетом (мін. 4S).</t>
  </si>
  <si>
    <t>Колесо ведуче</t>
  </si>
  <si>
    <t>ADR-005. Дві ведучі колеса на центральній поперечній осі.</t>
  </si>
  <si>
    <t>Опорний castor (кулька)</t>
  </si>
  <si>
    <t>ADR-005, ADR-008. Кулька ~20–25 мм; на пружинній ковзанці 3–5 мм з мікроперемикачем (датчик підняття).</t>
  </si>
  <si>
    <t>Жорсткий стрижень (вал) головного валика</t>
  </si>
  <si>
    <t>ADR-006. Метал або жорсткий пластик під TPU-оболонку.</t>
  </si>
  <si>
    <t>Мотор головної щітки (з передачею на валик)</t>
  </si>
  <si>
    <t>ADR-006. Клас, оберти й спосіб передачі ще не визначено; струм вимірюється шунтом на MCU.</t>
  </si>
  <si>
    <t>Вентилятор всмоктування (безколекторний)</t>
  </si>
  <si>
    <t>ADR-007. Десятки Вт, керування ШІМ/DShot з MCU; модель — під напругу пакета.</t>
  </si>
  <si>
    <t>ESC / драйвер вентилятора</t>
  </si>
  <si>
    <t>ADR-007. Потрібен, якщо вентилятор без вбудованого драйвера.</t>
  </si>
  <si>
    <t>Фільтр контейнера</t>
  </si>
  <si>
    <t>ADR-007. Поролон або складчастий; велика площа, на виході з контейнера.</t>
  </si>
  <si>
    <t>Мікроперемикачі бампера</t>
  </si>
  <si>
    <t>ADR-008. 2–3 шт. (ліворуч, по центру, праворуч), схема NC.</t>
  </si>
  <si>
    <t>Мікроперемикач датчика підняття (на castor)</t>
  </si>
  <si>
    <t>ADR-008. З прямим штовхачем, під рухомий castor.</t>
  </si>
  <si>
    <t>ІЧ-пара для датчика заповненості контейнера (випромінювач + приймач)</t>
  </si>
  <si>
    <t>ADR-008. На протилежних стінках контейнера на рівні «повно».</t>
  </si>
  <si>
    <t>Комірки для батарейного пакета</t>
  </si>
  <si>
    <t>Тема «Батарея»: мінімум 4S, пакет збираємо самі (зварювання). Кількість паралелей, ємність і хімія — на етапі BOM.</t>
  </si>
  <si>
    <t>BMS</t>
  </si>
  <si>
    <t>Тема «Батарея»: обов'язковий, з балансуванням і захистом (FR-19). Готовий модуль чи власна схема — на етапі BOM.</t>
  </si>
  <si>
    <t>Зарядний пристрій</t>
  </si>
  <si>
    <t>Тема «Батарея»: тип і вольтаж — під обраний пакет.</t>
  </si>
  <si>
    <t>Роз'єм XT60 (пара)</t>
  </si>
  <si>
    <t>Тема «Батарея»: заряджання через XT60 + DC-штекер.</t>
  </si>
  <si>
    <t>DC-штекер / гніздо для зарядки</t>
  </si>
  <si>
    <t>Тема «Батарея», ADR-009: місце — під час моделювання корпусу.</t>
  </si>
  <si>
    <t>Тумблер живлення</t>
  </si>
  <si>
    <t>ADR-009. Зверху попереду; номінал за постійним струмом батареї.</t>
  </si>
  <si>
    <t>Кнопка запуску прибирання</t>
  </si>
  <si>
    <t>ADR-009. Зверху попереду.</t>
  </si>
  <si>
    <t>Екранчик (маленький простий)</t>
  </si>
  <si>
    <t>Динамік (маленький простий)</t>
  </si>
  <si>
    <t>Світлодіод різнокольоровий (один)</t>
  </si>
  <si>
    <t>Роз'єм USB-C для прошивки MCU</t>
  </si>
  <si>
    <t>ADR-009. Виведений зверху попереду.</t>
  </si>
  <si>
    <t>Драйвер моторів коліс (H-міст, 2 канали)</t>
  </si>
  <si>
    <t>Не затверджено: ШІМ-керування колесами з MCU (ADR-001); під обраний мотор і напругу.</t>
  </si>
  <si>
    <t>Драйвер мотора щітки (з шунтом для виміру струму)</t>
  </si>
  <si>
    <t>Не затверджено: ADR-006 передбачає вимір струму шунтом у драйвері.</t>
  </si>
  <si>
    <t>Знижувальний перетворювач 5 В (від батареї; для Pi, лідара, датчиків)</t>
  </si>
  <si>
    <t>Не затверджено: Pi чутливий до просідань напруги; вхід має витримувати повну напругу пакета (4S = 16,8 В).</t>
  </si>
  <si>
    <t>Запобіжник / поліфьюз із тримачем</t>
  </si>
  <si>
    <t>Не затверджено: FR-18, захист силових ліній.</t>
  </si>
  <si>
    <t>Кнопка аварійної зупинки</t>
  </si>
  <si>
    <t>Не затверджено: FR-17, якщо цю роль не виконує тумблер живлення (ADR-009).</t>
  </si>
  <si>
    <t>Картка microSD для Raspberry Pi</t>
  </si>
  <si>
    <t>Не затверджено: Pi 4 завантажується з microSD.</t>
  </si>
  <si>
    <t>Радіатор / кулер для Raspberry Pi 4</t>
  </si>
  <si>
    <t>Не затверджено: Pi 4 гріється під постійним навантаженням SLAM.</t>
  </si>
  <si>
    <t>Підшипники для вала головного валика</t>
  </si>
  <si>
    <t>Не затверджено: опори валика (ADR-006).</t>
  </si>
  <si>
    <t>Ущільнювач контейнера й кришки (самоклейна гума або піна)</t>
  </si>
  <si>
    <t>Не затверджено: герметичність тракту (ADR-007).</t>
  </si>
  <si>
    <t>Пружини (бампер і castor-ковзанка)</t>
  </si>
  <si>
    <t>Не затверджено: ADR-008. Комплект.</t>
  </si>
  <si>
    <t>Програматор ST-Link V2 (SWD)</t>
  </si>
  <si>
    <t>Не затверджено: прошивка й налагодження MCU, якщо USB-C не вистачить.</t>
  </si>
  <si>
    <t>Перфоплата або PCB для розводки живлення й сигналів</t>
  </si>
  <si>
    <t>Не затверджено: розводка електроніки.</t>
  </si>
  <si>
    <t>Проводка, роз'єми, термоусадка</t>
  </si>
  <si>
    <t>Не затверджено: витратні, комплект.</t>
  </si>
  <si>
    <t>Кріплення: гвинти, стійки, термовставки</t>
  </si>
  <si>
    <t>Разом, ринкова вартість</t>
  </si>
  <si>
    <t>Разом, власні витрати</t>
  </si>
  <si>
    <t>Вже наявне (не купувати)</t>
  </si>
  <si>
    <t>https://evo.net.ua/slamtec-rplidar-c1/?srsltid=AYCX9vIrLs8OsY83VlVgX3ieINMjcrzMWw1Ekd-q7nRFsih6QGR-NxuH</t>
  </si>
  <si>
    <t>Замовив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</si>
</sst>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₴&quot;;\(#,##0&quot; ₴)&quot;;\-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u/>
      <sz val="10"/>
      <color rgb="FF0563C1"/>
      <name val="Arial"/>
      <charset val="1"/>
    </font>
    <font>
      <b/>
      <sz val="10"/>
      <name val="Arial"/>
      <charset val="1"/>
    </font>
    <font>
      <u/>
      <sz val="11"/>
      <color theme="10"/>
      <name val="Calibri"/>
      <family val="2"/>
      <charset val="1"/>
    </font>
    <font>
      <b/>
      <sz val="11"/>
      <color rgb="FF0088CC"/>
      <name val="Arial"/>
      <family val="2"/>
      <charset val="204"/>
    </font>
    <font>
      <sz val="10"/>
      <name val="Arial"/>
      <family val="2"/>
      <charset val="204"/>
    </font>
    <font>
      <sz val="10"/>
      <color rgb="FF0000FF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2E6F5C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E7EBE8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3C8C3"/>
      </left>
      <right style="thin">
        <color rgb="FFC3C8C3"/>
      </right>
      <top style="thin">
        <color rgb="FFC3C8C3"/>
      </top>
      <bottom style="thin">
        <color rgb="FFC3C8C3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1">
    <xf numFmtId="0" fontId="0" fillId="0" borderId="0" xfId="0" applyAlignment="1"/>
    <xf numFmtId="0" fontId="0" fillId="0" borderId="0" xfId="0" applyAlignment="1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1" fontId="3" fillId="0" borderId="1" xfId="0" applyNumberFormat="1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1" fontId="3" fillId="3" borderId="1" xfId="0" applyNumberFormat="1" applyFont="1" applyFill="1" applyBorder="1" applyAlignment="1">
      <alignment horizontal="center" vertical="top" wrapText="1"/>
    </xf>
    <xf numFmtId="164" fontId="3" fillId="3" borderId="1" xfId="0" applyNumberFormat="1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right" vertical="top"/>
    </xf>
    <xf numFmtId="164" fontId="5" fillId="4" borderId="1" xfId="0" applyNumberFormat="1" applyFont="1" applyFill="1" applyBorder="1" applyAlignment="1">
      <alignment horizontal="right" vertical="top"/>
    </xf>
    <xf numFmtId="3" fontId="7" fillId="0" borderId="0" xfId="0" applyNumberFormat="1" applyFont="1" applyAlignment="1"/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1" fontId="3" fillId="5" borderId="1" xfId="0" applyNumberFormat="1" applyFont="1" applyFill="1" applyBorder="1" applyAlignment="1">
      <alignment horizontal="center" vertical="top" wrapText="1"/>
    </xf>
    <xf numFmtId="164" fontId="3" fillId="5" borderId="1" xfId="0" applyNumberFormat="1" applyFont="1" applyFill="1" applyBorder="1" applyAlignment="1">
      <alignment vertical="top" wrapText="1"/>
    </xf>
    <xf numFmtId="164" fontId="2" fillId="5" borderId="1" xfId="0" applyNumberFormat="1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6" borderId="0" xfId="0" applyFill="1" applyAlignment="1"/>
    <xf numFmtId="0" fontId="8" fillId="0" borderId="1" xfId="0" applyFont="1" applyBorder="1" applyAlignment="1">
      <alignment vertical="top" wrapText="1"/>
    </xf>
    <xf numFmtId="0" fontId="6" fillId="0" borderId="1" xfId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F5C"/>
      <rgbColor rgb="FFC3C8C3"/>
      <rgbColor rgb="FF808080"/>
      <rgbColor rgb="FF9999FF"/>
      <rgbColor rgb="FF993366"/>
      <rgbColor rgb="FFE7EBE8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vo.net.ua/slamtec-rplidar-c1/?srsltid=AYCX9vIrLs8OsY83VlVgX3ieINMjcrzMWw1Ekd-q7nRFsih6QGR-NxuH" TargetMode="External"/><Relationship Id="rId1" Type="http://schemas.openxmlformats.org/officeDocument/2006/relationships/hyperlink" Target="https://minicomp.com.ua/ua/raspberry-pi/raspberry-pi-4/raspberry-pi-4-model-b-4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showGridLines="0"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7" sqref="G7"/>
    </sheetView>
  </sheetViews>
  <sheetFormatPr defaultColWidth="8.6640625" defaultRowHeight="14.4" x14ac:dyDescent="0.3"/>
  <cols>
    <col min="1" max="1" width="5" style="1" customWidth="1"/>
    <col min="2" max="2" width="38" style="1" customWidth="1"/>
    <col min="3" max="3" width="30" style="1" customWidth="1"/>
    <col min="4" max="4" width="8" style="1" customWidth="1"/>
    <col min="5" max="6" width="16" style="1" customWidth="1"/>
    <col min="7" max="7" width="40" style="1" customWidth="1"/>
    <col min="8" max="8" width="16" style="1" customWidth="1"/>
    <col min="9" max="9" width="18" style="1" customWidth="1"/>
    <col min="10" max="10" width="70" style="1" customWidth="1"/>
  </cols>
  <sheetData>
    <row r="1" spans="1:10" ht="31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5.75" customHeight="1" x14ac:dyDescent="0.3">
      <c r="A2" s="3">
        <v>1</v>
      </c>
      <c r="B2" s="4" t="s">
        <v>10</v>
      </c>
      <c r="C2" s="28" t="s">
        <v>11</v>
      </c>
      <c r="D2" s="5">
        <v>1</v>
      </c>
      <c r="E2" s="6">
        <v>7458</v>
      </c>
      <c r="F2" s="7">
        <f t="shared" ref="F2:F40" si="0">D2*E2</f>
        <v>7458</v>
      </c>
      <c r="G2" s="8" t="s">
        <v>12</v>
      </c>
      <c r="H2" s="9" t="s">
        <v>13</v>
      </c>
      <c r="I2" s="7">
        <f t="shared" ref="I2:I40" si="1">IF(H2="Вже є",0,F2)</f>
        <v>0</v>
      </c>
      <c r="J2" s="4" t="s">
        <v>14</v>
      </c>
    </row>
    <row r="3" spans="1:10" ht="23.25" customHeight="1" x14ac:dyDescent="0.3">
      <c r="A3" s="3">
        <v>2</v>
      </c>
      <c r="B3" s="4" t="s">
        <v>15</v>
      </c>
      <c r="C3" s="4" t="s">
        <v>16</v>
      </c>
      <c r="D3" s="5">
        <v>1</v>
      </c>
      <c r="E3" s="6">
        <v>250</v>
      </c>
      <c r="F3" s="7">
        <f t="shared" si="0"/>
        <v>250</v>
      </c>
      <c r="G3" s="8"/>
      <c r="H3" s="9" t="s">
        <v>13</v>
      </c>
      <c r="I3" s="7">
        <f t="shared" si="1"/>
        <v>0</v>
      </c>
      <c r="J3" s="4" t="s">
        <v>17</v>
      </c>
    </row>
    <row r="4" spans="1:10" ht="23.25" customHeight="1" x14ac:dyDescent="0.3">
      <c r="A4" s="3">
        <v>3</v>
      </c>
      <c r="B4" s="4" t="s">
        <v>18</v>
      </c>
      <c r="C4" s="4" t="s">
        <v>19</v>
      </c>
      <c r="D4" s="5">
        <v>1</v>
      </c>
      <c r="E4" s="19">
        <v>4247</v>
      </c>
      <c r="F4" s="7">
        <f t="shared" si="0"/>
        <v>4247</v>
      </c>
      <c r="G4" s="29" t="s">
        <v>93</v>
      </c>
      <c r="H4" s="30" t="s">
        <v>94</v>
      </c>
      <c r="I4" s="7">
        <f t="shared" si="1"/>
        <v>4247</v>
      </c>
      <c r="J4" s="4" t="s">
        <v>20</v>
      </c>
    </row>
    <row r="5" spans="1:10" ht="23.25" customHeight="1" x14ac:dyDescent="0.3">
      <c r="A5" s="3">
        <v>4</v>
      </c>
      <c r="B5" s="4" t="s">
        <v>21</v>
      </c>
      <c r="C5" s="4"/>
      <c r="D5" s="5">
        <v>2</v>
      </c>
      <c r="E5" s="6"/>
      <c r="F5" s="7">
        <f t="shared" si="0"/>
        <v>0</v>
      </c>
      <c r="G5" s="8"/>
      <c r="H5" s="9" t="s">
        <v>22</v>
      </c>
      <c r="I5" s="7">
        <f t="shared" si="1"/>
        <v>0</v>
      </c>
      <c r="J5" s="4" t="s">
        <v>23</v>
      </c>
    </row>
    <row r="6" spans="1:10" ht="15" customHeight="1" x14ac:dyDescent="0.3">
      <c r="A6" s="3">
        <v>5</v>
      </c>
      <c r="B6" s="4" t="s">
        <v>24</v>
      </c>
      <c r="C6" s="4"/>
      <c r="D6" s="5">
        <v>2</v>
      </c>
      <c r="E6" s="6"/>
      <c r="F6" s="7">
        <f t="shared" si="0"/>
        <v>0</v>
      </c>
      <c r="G6" s="8"/>
      <c r="H6" s="9" t="s">
        <v>22</v>
      </c>
      <c r="I6" s="7">
        <f t="shared" si="1"/>
        <v>0</v>
      </c>
      <c r="J6" s="4" t="s">
        <v>25</v>
      </c>
    </row>
    <row r="7" spans="1:10" ht="23.25" customHeight="1" x14ac:dyDescent="0.3">
      <c r="A7" s="3">
        <v>6</v>
      </c>
      <c r="B7" s="4" t="s">
        <v>26</v>
      </c>
      <c r="C7" s="4"/>
      <c r="D7" s="5">
        <v>1</v>
      </c>
      <c r="E7" s="6"/>
      <c r="F7" s="7">
        <f t="shared" si="0"/>
        <v>0</v>
      </c>
      <c r="G7" s="8"/>
      <c r="H7" s="9" t="s">
        <v>22</v>
      </c>
      <c r="I7" s="7">
        <f t="shared" si="1"/>
        <v>0</v>
      </c>
      <c r="J7" s="4" t="s">
        <v>27</v>
      </c>
    </row>
    <row r="8" spans="1:10" ht="15" customHeight="1" x14ac:dyDescent="0.3">
      <c r="A8" s="3">
        <v>7</v>
      </c>
      <c r="B8" s="4" t="s">
        <v>28</v>
      </c>
      <c r="C8" s="4"/>
      <c r="D8" s="5">
        <v>1</v>
      </c>
      <c r="E8" s="6"/>
      <c r="F8" s="7">
        <f t="shared" si="0"/>
        <v>0</v>
      </c>
      <c r="G8" s="8"/>
      <c r="H8" s="9" t="s">
        <v>22</v>
      </c>
      <c r="I8" s="7">
        <f t="shared" si="1"/>
        <v>0</v>
      </c>
      <c r="J8" s="4" t="s">
        <v>29</v>
      </c>
    </row>
    <row r="9" spans="1:10" ht="23.25" customHeight="1" x14ac:dyDescent="0.3">
      <c r="A9" s="3">
        <v>8</v>
      </c>
      <c r="B9" s="4" t="s">
        <v>30</v>
      </c>
      <c r="C9" s="4"/>
      <c r="D9" s="5">
        <v>1</v>
      </c>
      <c r="E9" s="6"/>
      <c r="F9" s="7">
        <f t="shared" si="0"/>
        <v>0</v>
      </c>
      <c r="G9" s="8"/>
      <c r="H9" s="9" t="s">
        <v>22</v>
      </c>
      <c r="I9" s="7">
        <f t="shared" si="1"/>
        <v>0</v>
      </c>
      <c r="J9" s="4" t="s">
        <v>31</v>
      </c>
    </row>
    <row r="10" spans="1:10" ht="15" customHeight="1" x14ac:dyDescent="0.3">
      <c r="A10" s="3">
        <v>9</v>
      </c>
      <c r="B10" s="4" t="s">
        <v>32</v>
      </c>
      <c r="C10" s="4"/>
      <c r="D10" s="5">
        <v>1</v>
      </c>
      <c r="E10" s="6"/>
      <c r="F10" s="7">
        <f t="shared" si="0"/>
        <v>0</v>
      </c>
      <c r="G10" s="8"/>
      <c r="H10" s="9" t="s">
        <v>22</v>
      </c>
      <c r="I10" s="7">
        <f t="shared" si="1"/>
        <v>0</v>
      </c>
      <c r="J10" s="4" t="s">
        <v>33</v>
      </c>
    </row>
    <row r="11" spans="1:10" ht="15" customHeight="1" x14ac:dyDescent="0.3">
      <c r="A11" s="3">
        <v>10</v>
      </c>
      <c r="B11" s="4" t="s">
        <v>34</v>
      </c>
      <c r="C11" s="4"/>
      <c r="D11" s="5">
        <v>1</v>
      </c>
      <c r="E11" s="6"/>
      <c r="F11" s="7">
        <f t="shared" si="0"/>
        <v>0</v>
      </c>
      <c r="G11" s="8"/>
      <c r="H11" s="9" t="s">
        <v>22</v>
      </c>
      <c r="I11" s="7">
        <f t="shared" si="1"/>
        <v>0</v>
      </c>
      <c r="J11" s="4" t="s">
        <v>35</v>
      </c>
    </row>
    <row r="12" spans="1:10" ht="15" customHeight="1" x14ac:dyDescent="0.3">
      <c r="A12" s="3">
        <v>11</v>
      </c>
      <c r="B12" s="4" t="s">
        <v>36</v>
      </c>
      <c r="C12" s="4"/>
      <c r="D12" s="5">
        <v>1</v>
      </c>
      <c r="E12" s="6"/>
      <c r="F12" s="7">
        <f t="shared" si="0"/>
        <v>0</v>
      </c>
      <c r="G12" s="8"/>
      <c r="H12" s="9" t="s">
        <v>22</v>
      </c>
      <c r="I12" s="7">
        <f t="shared" si="1"/>
        <v>0</v>
      </c>
      <c r="J12" s="4" t="s">
        <v>37</v>
      </c>
    </row>
    <row r="13" spans="1:10" ht="15" customHeight="1" x14ac:dyDescent="0.3">
      <c r="A13" s="3">
        <v>12</v>
      </c>
      <c r="B13" s="4" t="s">
        <v>38</v>
      </c>
      <c r="C13" s="4"/>
      <c r="D13" s="5">
        <v>3</v>
      </c>
      <c r="E13" s="6"/>
      <c r="F13" s="7">
        <f t="shared" si="0"/>
        <v>0</v>
      </c>
      <c r="G13" s="8"/>
      <c r="H13" s="9" t="s">
        <v>22</v>
      </c>
      <c r="I13" s="7">
        <f t="shared" si="1"/>
        <v>0</v>
      </c>
      <c r="J13" s="4" t="s">
        <v>39</v>
      </c>
    </row>
    <row r="14" spans="1:10" ht="15" customHeight="1" x14ac:dyDescent="0.3">
      <c r="A14" s="3">
        <v>13</v>
      </c>
      <c r="B14" s="4" t="s">
        <v>40</v>
      </c>
      <c r="C14" s="4"/>
      <c r="D14" s="5">
        <v>1</v>
      </c>
      <c r="E14" s="6"/>
      <c r="F14" s="7">
        <f t="shared" si="0"/>
        <v>0</v>
      </c>
      <c r="G14" s="8"/>
      <c r="H14" s="9" t="s">
        <v>22</v>
      </c>
      <c r="I14" s="7">
        <f t="shared" si="1"/>
        <v>0</v>
      </c>
      <c r="J14" s="4" t="s">
        <v>41</v>
      </c>
    </row>
    <row r="15" spans="1:10" ht="23.25" customHeight="1" x14ac:dyDescent="0.3">
      <c r="A15" s="3">
        <v>14</v>
      </c>
      <c r="B15" s="4" t="s">
        <v>42</v>
      </c>
      <c r="C15" s="4"/>
      <c r="D15" s="5">
        <v>1</v>
      </c>
      <c r="E15" s="6"/>
      <c r="F15" s="7">
        <f t="shared" si="0"/>
        <v>0</v>
      </c>
      <c r="G15" s="8"/>
      <c r="H15" s="9" t="s">
        <v>22</v>
      </c>
      <c r="I15" s="7">
        <f t="shared" si="1"/>
        <v>0</v>
      </c>
      <c r="J15" s="4" t="s">
        <v>43</v>
      </c>
    </row>
    <row r="16" spans="1:10" ht="23.25" customHeight="1" x14ac:dyDescent="0.3">
      <c r="A16" s="3">
        <v>15</v>
      </c>
      <c r="B16" s="4" t="s">
        <v>44</v>
      </c>
      <c r="C16" s="4"/>
      <c r="D16" s="5"/>
      <c r="E16" s="6"/>
      <c r="F16" s="7">
        <f t="shared" si="0"/>
        <v>0</v>
      </c>
      <c r="G16" s="8"/>
      <c r="H16" s="9" t="s">
        <v>22</v>
      </c>
      <c r="I16" s="7">
        <f t="shared" si="1"/>
        <v>0</v>
      </c>
      <c r="J16" s="4" t="s">
        <v>45</v>
      </c>
    </row>
    <row r="17" spans="1:10" ht="23.25" customHeight="1" x14ac:dyDescent="0.3">
      <c r="A17" s="3">
        <v>16</v>
      </c>
      <c r="B17" s="4" t="s">
        <v>46</v>
      </c>
      <c r="C17" s="4"/>
      <c r="D17" s="5">
        <v>1</v>
      </c>
      <c r="E17" s="6"/>
      <c r="F17" s="7">
        <f t="shared" si="0"/>
        <v>0</v>
      </c>
      <c r="G17" s="8"/>
      <c r="H17" s="9" t="s">
        <v>22</v>
      </c>
      <c r="I17" s="7">
        <f t="shared" si="1"/>
        <v>0</v>
      </c>
      <c r="J17" s="4" t="s">
        <v>47</v>
      </c>
    </row>
    <row r="18" spans="1:10" ht="15" customHeight="1" x14ac:dyDescent="0.3">
      <c r="A18" s="3">
        <v>17</v>
      </c>
      <c r="B18" s="4" t="s">
        <v>48</v>
      </c>
      <c r="C18" s="4"/>
      <c r="D18" s="5">
        <v>1</v>
      </c>
      <c r="E18" s="6"/>
      <c r="F18" s="7">
        <f t="shared" si="0"/>
        <v>0</v>
      </c>
      <c r="G18" s="8"/>
      <c r="H18" s="9" t="s">
        <v>22</v>
      </c>
      <c r="I18" s="7">
        <f t="shared" si="1"/>
        <v>0</v>
      </c>
      <c r="J18" s="4" t="s">
        <v>49</v>
      </c>
    </row>
    <row r="19" spans="1:10" ht="15" customHeight="1" x14ac:dyDescent="0.3">
      <c r="A19" s="3">
        <v>18</v>
      </c>
      <c r="B19" s="4" t="s">
        <v>50</v>
      </c>
      <c r="C19" s="4"/>
      <c r="D19" s="5">
        <v>1</v>
      </c>
      <c r="E19" s="6"/>
      <c r="F19" s="7">
        <f t="shared" si="0"/>
        <v>0</v>
      </c>
      <c r="G19" s="8"/>
      <c r="H19" s="9" t="s">
        <v>22</v>
      </c>
      <c r="I19" s="7">
        <f t="shared" si="1"/>
        <v>0</v>
      </c>
      <c r="J19" s="4" t="s">
        <v>51</v>
      </c>
    </row>
    <row r="20" spans="1:10" ht="15" customHeight="1" x14ac:dyDescent="0.3">
      <c r="A20" s="3">
        <v>19</v>
      </c>
      <c r="B20" s="4" t="s">
        <v>52</v>
      </c>
      <c r="C20" s="4"/>
      <c r="D20" s="5">
        <v>1</v>
      </c>
      <c r="E20" s="6"/>
      <c r="F20" s="7">
        <f t="shared" si="0"/>
        <v>0</v>
      </c>
      <c r="G20" s="8"/>
      <c r="H20" s="9" t="s">
        <v>22</v>
      </c>
      <c r="I20" s="7">
        <f t="shared" si="1"/>
        <v>0</v>
      </c>
      <c r="J20" s="4" t="s">
        <v>53</v>
      </c>
    </row>
    <row r="21" spans="1:10" ht="15" customHeight="1" x14ac:dyDescent="0.3">
      <c r="A21" s="3">
        <v>20</v>
      </c>
      <c r="B21" s="4" t="s">
        <v>54</v>
      </c>
      <c r="C21" s="4"/>
      <c r="D21" s="5">
        <v>1</v>
      </c>
      <c r="E21" s="6"/>
      <c r="F21" s="7">
        <f t="shared" si="0"/>
        <v>0</v>
      </c>
      <c r="G21" s="8"/>
      <c r="H21" s="9" t="s">
        <v>22</v>
      </c>
      <c r="I21" s="7">
        <f t="shared" si="1"/>
        <v>0</v>
      </c>
      <c r="J21" s="4" t="s">
        <v>55</v>
      </c>
    </row>
    <row r="22" spans="1:10" ht="15" customHeight="1" x14ac:dyDescent="0.3">
      <c r="A22" s="3">
        <v>21</v>
      </c>
      <c r="B22" s="4" t="s">
        <v>56</v>
      </c>
      <c r="C22" s="4"/>
      <c r="D22" s="5">
        <v>1</v>
      </c>
      <c r="E22" s="6"/>
      <c r="F22" s="7">
        <f t="shared" si="0"/>
        <v>0</v>
      </c>
      <c r="G22" s="8"/>
      <c r="H22" s="9" t="s">
        <v>22</v>
      </c>
      <c r="I22" s="7">
        <f t="shared" si="1"/>
        <v>0</v>
      </c>
      <c r="J22" s="4" t="s">
        <v>57</v>
      </c>
    </row>
    <row r="23" spans="1:10" ht="15" customHeight="1" x14ac:dyDescent="0.3">
      <c r="A23" s="3">
        <v>22</v>
      </c>
      <c r="B23" s="4" t="s">
        <v>58</v>
      </c>
      <c r="C23" s="4"/>
      <c r="D23" s="5">
        <v>1</v>
      </c>
      <c r="E23" s="6"/>
      <c r="F23" s="7">
        <f t="shared" si="0"/>
        <v>0</v>
      </c>
      <c r="G23" s="8"/>
      <c r="H23" s="9" t="s">
        <v>22</v>
      </c>
      <c r="I23" s="7">
        <f t="shared" si="1"/>
        <v>0</v>
      </c>
      <c r="J23" s="4" t="s">
        <v>57</v>
      </c>
    </row>
    <row r="24" spans="1:10" ht="15" customHeight="1" x14ac:dyDescent="0.3">
      <c r="A24" s="3">
        <v>23</v>
      </c>
      <c r="B24" s="4" t="s">
        <v>59</v>
      </c>
      <c r="C24" s="4"/>
      <c r="D24" s="5">
        <v>1</v>
      </c>
      <c r="E24" s="6"/>
      <c r="F24" s="7">
        <f t="shared" si="0"/>
        <v>0</v>
      </c>
      <c r="G24" s="8"/>
      <c r="H24" s="9" t="s">
        <v>22</v>
      </c>
      <c r="I24" s="7">
        <f t="shared" si="1"/>
        <v>0</v>
      </c>
      <c r="J24" s="4" t="s">
        <v>57</v>
      </c>
    </row>
    <row r="25" spans="1:10" ht="15" customHeight="1" x14ac:dyDescent="0.3">
      <c r="A25" s="3">
        <v>24</v>
      </c>
      <c r="B25" s="4" t="s">
        <v>60</v>
      </c>
      <c r="C25" s="4"/>
      <c r="D25" s="5">
        <v>1</v>
      </c>
      <c r="E25" s="6"/>
      <c r="F25" s="7">
        <f t="shared" si="0"/>
        <v>0</v>
      </c>
      <c r="G25" s="8"/>
      <c r="H25" s="9" t="s">
        <v>22</v>
      </c>
      <c r="I25" s="7">
        <f t="shared" si="1"/>
        <v>0</v>
      </c>
      <c r="J25" s="4" t="s">
        <v>57</v>
      </c>
    </row>
    <row r="26" spans="1:10" ht="15" customHeight="1" x14ac:dyDescent="0.3">
      <c r="A26" s="3">
        <v>25</v>
      </c>
      <c r="B26" s="4" t="s">
        <v>61</v>
      </c>
      <c r="C26" s="4"/>
      <c r="D26" s="5">
        <v>1</v>
      </c>
      <c r="E26" s="6"/>
      <c r="F26" s="7">
        <f t="shared" si="0"/>
        <v>0</v>
      </c>
      <c r="G26" s="8"/>
      <c r="H26" s="9" t="s">
        <v>22</v>
      </c>
      <c r="I26" s="7">
        <f t="shared" si="1"/>
        <v>0</v>
      </c>
      <c r="J26" s="4" t="s">
        <v>62</v>
      </c>
    </row>
    <row r="27" spans="1:10" ht="23.25" customHeight="1" x14ac:dyDescent="0.3">
      <c r="A27" s="10">
        <v>26</v>
      </c>
      <c r="B27" s="11" t="s">
        <v>63</v>
      </c>
      <c r="C27" s="11"/>
      <c r="D27" s="12">
        <v>1</v>
      </c>
      <c r="E27" s="13"/>
      <c r="F27" s="14">
        <f t="shared" si="0"/>
        <v>0</v>
      </c>
      <c r="G27" s="15"/>
      <c r="H27" s="16" t="s">
        <v>22</v>
      </c>
      <c r="I27" s="14">
        <f t="shared" si="1"/>
        <v>0</v>
      </c>
      <c r="J27" s="11" t="s">
        <v>64</v>
      </c>
    </row>
    <row r="28" spans="1:10" ht="23.25" customHeight="1" x14ac:dyDescent="0.3">
      <c r="A28" s="10">
        <v>27</v>
      </c>
      <c r="B28" s="11" t="s">
        <v>65</v>
      </c>
      <c r="C28" s="11"/>
      <c r="D28" s="12">
        <v>1</v>
      </c>
      <c r="E28" s="13"/>
      <c r="F28" s="14">
        <f t="shared" si="0"/>
        <v>0</v>
      </c>
      <c r="G28" s="15"/>
      <c r="H28" s="16" t="s">
        <v>22</v>
      </c>
      <c r="I28" s="14">
        <f t="shared" si="1"/>
        <v>0</v>
      </c>
      <c r="J28" s="11" t="s">
        <v>66</v>
      </c>
    </row>
    <row r="29" spans="1:10" ht="23.25" customHeight="1" x14ac:dyDescent="0.3">
      <c r="A29" s="10">
        <v>28</v>
      </c>
      <c r="B29" s="11" t="s">
        <v>67</v>
      </c>
      <c r="C29" s="11"/>
      <c r="D29" s="12">
        <v>1</v>
      </c>
      <c r="E29" s="13"/>
      <c r="F29" s="14">
        <f t="shared" si="0"/>
        <v>0</v>
      </c>
      <c r="G29" s="15"/>
      <c r="H29" s="16" t="s">
        <v>22</v>
      </c>
      <c r="I29" s="14">
        <f t="shared" si="1"/>
        <v>0</v>
      </c>
      <c r="J29" s="11" t="s">
        <v>68</v>
      </c>
    </row>
    <row r="30" spans="1:10" ht="15" customHeight="1" x14ac:dyDescent="0.3">
      <c r="A30" s="10">
        <v>29</v>
      </c>
      <c r="B30" s="11" t="s">
        <v>69</v>
      </c>
      <c r="C30" s="11"/>
      <c r="D30" s="12">
        <v>1</v>
      </c>
      <c r="E30" s="13"/>
      <c r="F30" s="14">
        <f t="shared" si="0"/>
        <v>0</v>
      </c>
      <c r="G30" s="15"/>
      <c r="H30" s="16" t="s">
        <v>22</v>
      </c>
      <c r="I30" s="14">
        <f t="shared" si="1"/>
        <v>0</v>
      </c>
      <c r="J30" s="11" t="s">
        <v>70</v>
      </c>
    </row>
    <row r="31" spans="1:10" ht="15" customHeight="1" x14ac:dyDescent="0.3">
      <c r="A31" s="10">
        <v>30</v>
      </c>
      <c r="B31" s="11" t="s">
        <v>71</v>
      </c>
      <c r="C31" s="11"/>
      <c r="D31" s="12">
        <v>1</v>
      </c>
      <c r="E31" s="13"/>
      <c r="F31" s="14">
        <f t="shared" si="0"/>
        <v>0</v>
      </c>
      <c r="G31" s="15"/>
      <c r="H31" s="16" t="s">
        <v>22</v>
      </c>
      <c r="I31" s="14">
        <f t="shared" si="1"/>
        <v>0</v>
      </c>
      <c r="J31" s="11" t="s">
        <v>72</v>
      </c>
    </row>
    <row r="32" spans="1:10" ht="15" customHeight="1" x14ac:dyDescent="0.3">
      <c r="A32" s="10">
        <v>31</v>
      </c>
      <c r="B32" s="11" t="s">
        <v>73</v>
      </c>
      <c r="C32" s="11"/>
      <c r="D32" s="12">
        <v>1</v>
      </c>
      <c r="E32" s="13"/>
      <c r="F32" s="14">
        <f t="shared" si="0"/>
        <v>0</v>
      </c>
      <c r="G32" s="15"/>
      <c r="H32" s="16" t="s">
        <v>22</v>
      </c>
      <c r="I32" s="14">
        <f t="shared" si="1"/>
        <v>0</v>
      </c>
      <c r="J32" s="11" t="s">
        <v>74</v>
      </c>
    </row>
    <row r="33" spans="1:10" ht="15" customHeight="1" x14ac:dyDescent="0.3">
      <c r="A33" s="10">
        <v>32</v>
      </c>
      <c r="B33" s="11" t="s">
        <v>75</v>
      </c>
      <c r="C33" s="11"/>
      <c r="D33" s="12">
        <v>1</v>
      </c>
      <c r="E33" s="13"/>
      <c r="F33" s="14">
        <f t="shared" si="0"/>
        <v>0</v>
      </c>
      <c r="G33" s="15"/>
      <c r="H33" s="16" t="s">
        <v>22</v>
      </c>
      <c r="I33" s="14">
        <f t="shared" si="1"/>
        <v>0</v>
      </c>
      <c r="J33" s="11" t="s">
        <v>76</v>
      </c>
    </row>
    <row r="34" spans="1:10" ht="15" customHeight="1" x14ac:dyDescent="0.3">
      <c r="A34" s="10">
        <v>33</v>
      </c>
      <c r="B34" s="11" t="s">
        <v>77</v>
      </c>
      <c r="C34" s="11"/>
      <c r="D34" s="12">
        <v>2</v>
      </c>
      <c r="E34" s="13"/>
      <c r="F34" s="14">
        <f t="shared" si="0"/>
        <v>0</v>
      </c>
      <c r="G34" s="15"/>
      <c r="H34" s="16" t="s">
        <v>22</v>
      </c>
      <c r="I34" s="14">
        <f t="shared" si="1"/>
        <v>0</v>
      </c>
      <c r="J34" s="11" t="s">
        <v>78</v>
      </c>
    </row>
    <row r="35" spans="1:10" ht="23.25" customHeight="1" x14ac:dyDescent="0.3">
      <c r="A35" s="10">
        <v>34</v>
      </c>
      <c r="B35" s="11" t="s">
        <v>79</v>
      </c>
      <c r="C35" s="11"/>
      <c r="D35" s="12">
        <v>1</v>
      </c>
      <c r="E35" s="13"/>
      <c r="F35" s="14">
        <f t="shared" si="0"/>
        <v>0</v>
      </c>
      <c r="G35" s="15"/>
      <c r="H35" s="16" t="s">
        <v>22</v>
      </c>
      <c r="I35" s="14">
        <f t="shared" si="1"/>
        <v>0</v>
      </c>
      <c r="J35" s="11" t="s">
        <v>80</v>
      </c>
    </row>
    <row r="36" spans="1:10" ht="15" customHeight="1" x14ac:dyDescent="0.3">
      <c r="A36" s="10">
        <v>35</v>
      </c>
      <c r="B36" s="11" t="s">
        <v>81</v>
      </c>
      <c r="C36" s="11"/>
      <c r="D36" s="12">
        <v>1</v>
      </c>
      <c r="E36" s="13"/>
      <c r="F36" s="14">
        <f t="shared" si="0"/>
        <v>0</v>
      </c>
      <c r="G36" s="15"/>
      <c r="H36" s="16" t="s">
        <v>22</v>
      </c>
      <c r="I36" s="14">
        <f t="shared" si="1"/>
        <v>0</v>
      </c>
      <c r="J36" s="11" t="s">
        <v>82</v>
      </c>
    </row>
    <row r="37" spans="1:10" s="27" customFormat="1" ht="15" customHeight="1" x14ac:dyDescent="0.3">
      <c r="A37" s="20">
        <v>36</v>
      </c>
      <c r="B37" s="21" t="s">
        <v>83</v>
      </c>
      <c r="C37" s="21"/>
      <c r="D37" s="22">
        <v>1</v>
      </c>
      <c r="E37" s="23">
        <v>305</v>
      </c>
      <c r="F37" s="24">
        <f t="shared" si="0"/>
        <v>305</v>
      </c>
      <c r="G37" s="25"/>
      <c r="H37" s="26" t="s">
        <v>13</v>
      </c>
      <c r="I37" s="24">
        <f t="shared" si="1"/>
        <v>0</v>
      </c>
      <c r="J37" s="21" t="s">
        <v>84</v>
      </c>
    </row>
    <row r="38" spans="1:10" ht="23.25" customHeight="1" x14ac:dyDescent="0.3">
      <c r="A38" s="10">
        <v>37</v>
      </c>
      <c r="B38" s="11" t="s">
        <v>85</v>
      </c>
      <c r="C38" s="11"/>
      <c r="D38" s="12">
        <v>1</v>
      </c>
      <c r="E38" s="13"/>
      <c r="F38" s="14">
        <f t="shared" si="0"/>
        <v>0</v>
      </c>
      <c r="G38" s="15"/>
      <c r="H38" s="16" t="s">
        <v>22</v>
      </c>
      <c r="I38" s="14">
        <f t="shared" si="1"/>
        <v>0</v>
      </c>
      <c r="J38" s="11" t="s">
        <v>86</v>
      </c>
    </row>
    <row r="39" spans="1:10" ht="15" customHeight="1" x14ac:dyDescent="0.3">
      <c r="A39" s="10">
        <v>38</v>
      </c>
      <c r="B39" s="11" t="s">
        <v>87</v>
      </c>
      <c r="C39" s="11"/>
      <c r="D39" s="12">
        <v>1</v>
      </c>
      <c r="E39" s="13"/>
      <c r="F39" s="14">
        <f t="shared" si="0"/>
        <v>0</v>
      </c>
      <c r="G39" s="15"/>
      <c r="H39" s="16" t="s">
        <v>22</v>
      </c>
      <c r="I39" s="14">
        <f t="shared" si="1"/>
        <v>0</v>
      </c>
      <c r="J39" s="11" t="s">
        <v>88</v>
      </c>
    </row>
    <row r="40" spans="1:10" ht="15" customHeight="1" x14ac:dyDescent="0.3">
      <c r="A40" s="10">
        <v>39</v>
      </c>
      <c r="B40" s="11" t="s">
        <v>89</v>
      </c>
      <c r="C40" s="11"/>
      <c r="D40" s="12">
        <v>1</v>
      </c>
      <c r="E40" s="13"/>
      <c r="F40" s="14">
        <f t="shared" si="0"/>
        <v>0</v>
      </c>
      <c r="G40" s="15"/>
      <c r="H40" s="16" t="s">
        <v>22</v>
      </c>
      <c r="I40" s="14">
        <f t="shared" si="1"/>
        <v>0</v>
      </c>
      <c r="J40" s="11" t="s">
        <v>88</v>
      </c>
    </row>
    <row r="41" spans="1:10" ht="15" customHeight="1" x14ac:dyDescent="0.3"/>
    <row r="42" spans="1:10" ht="15" customHeight="1" x14ac:dyDescent="0.3">
      <c r="E42" s="17" t="s">
        <v>90</v>
      </c>
      <c r="F42" s="18">
        <f>SUM(F2:F40)</f>
        <v>12260</v>
      </c>
    </row>
    <row r="43" spans="1:10" x14ac:dyDescent="0.3">
      <c r="E43" s="17" t="s">
        <v>91</v>
      </c>
      <c r="F43" s="18">
        <f>SUM(I2:I40)</f>
        <v>4247</v>
      </c>
    </row>
    <row r="44" spans="1:10" ht="15" customHeight="1" x14ac:dyDescent="0.3">
      <c r="E44" s="17" t="s">
        <v>92</v>
      </c>
      <c r="F44" s="18">
        <f>F42-F43</f>
        <v>8013</v>
      </c>
    </row>
    <row r="45" spans="1:10" ht="15" customHeight="1" x14ac:dyDescent="0.3"/>
    <row r="46" spans="1:10" ht="15" customHeight="1" x14ac:dyDescent="0.3"/>
  </sheetData>
  <dataValidations count="1">
    <dataValidation type="list" allowBlank="1" sqref="H2:H40" xr:uid="{00000000-0002-0000-0000-000000000000}">
      <formula1>"Вже є,Обрати модель,Треба купити,Замовлено,Отримано"</formula1>
    </dataValidation>
  </dataValidations>
  <hyperlinks>
    <hyperlink ref="G2" r:id="rId1" xr:uid="{00000000-0004-0000-0000-000000000000}"/>
    <hyperlink ref="G4" r:id="rId2" xr:uid="{01C12EF0-2E3E-4DD8-A936-00DA3A19B286}"/>
  </hyperlink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2026-10-08T14:24:44Z</dcterms:created>
  <dcterms:modified xsi:type="dcterms:W3CDTF">2026-10-29T17:18:42Z</dcterms:modified>
  <dc:language>en-US</dc:language>
</cp:coreProperties>
</file>